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Premissas e Parâmetros" sheetId="2" state="visible" r:id="rId2"/>
    <sheet xmlns:r="http://schemas.openxmlformats.org/officeDocument/2006/relationships" name="Detalhamento Mensal (5k)" sheetId="3" state="visible" r:id="rId3"/>
    <sheet xmlns:r="http://schemas.openxmlformats.org/officeDocument/2006/relationships" name="Simulação de Esca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R$ #,##0.00"/>
    <numFmt numFmtId="166" formatCode="$#,##0.000"/>
    <numFmt numFmtId="167" formatCode="$#,##0.00000"/>
    <numFmt numFmtId="168" formatCode="$#,##0.0000"/>
    <numFmt numFmtId="169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00000"/>
      <sz val="11"/>
    </font>
    <font>
      <name val="Calibri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9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169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6" fillId="4" borderId="2" pivotButton="0" quotePrefix="0" xfId="0"/>
    <xf numFmtId="169" fontId="6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pivotButton="0" quotePrefix="0" xfId="0"/>
    <xf numFmtId="166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169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RESUMO EXECUTIVO DE CUSTOS — SISTEMA NENC PROSÓDIA</t>
        </is>
      </c>
    </row>
    <row r="2">
      <c r="A2" s="2" t="inlineStr">
        <is>
          <t>Cenário Projetado: 5.000 áudios/mês (2 min cada) = 10.000 minutos de processamento vocal</t>
        </is>
      </c>
    </row>
    <row r="3"/>
    <row r="4">
      <c r="A4" s="3" t="inlineStr">
        <is>
          <t>1. Principais Pilares da Arquitetura</t>
        </is>
      </c>
    </row>
    <row r="5" ht="20" customHeight="1">
      <c r="A5" s="4" t="inlineStr">
        <is>
          <t>• Mensageria WhatsApp:</t>
        </is>
      </c>
      <c r="B5" s="5" t="inlineStr">
        <is>
          <t>Conversas iniciadas pelo usuário (Service Conversations) com 1.000 conversas grátis/mês.</t>
        </is>
      </c>
    </row>
    <row r="6" ht="20" customHeight="1">
      <c r="A6" s="4" t="inlineStr">
        <is>
          <t>• Transcrição (STT):</t>
        </is>
      </c>
      <c r="B6" s="5" t="inlineStr">
        <is>
          <t>Whisper OpenAI ($0,006/min) ou Groq Whisper-large-v3-turbo ($0,00067/min).</t>
        </is>
      </c>
    </row>
    <row r="7" ht="20" customHeight="1">
      <c r="A7" s="4" t="inlineStr">
        <is>
          <t>• Prosódia Vocal:</t>
        </is>
      </c>
      <c r="B7" s="5" t="inlineStr">
        <is>
          <t>DevAIce API para extração acústica de emoção, entonação e ritmo vocal.</t>
        </is>
      </c>
    </row>
    <row r="8" ht="20" customHeight="1">
      <c r="A8" s="4" t="inlineStr">
        <is>
          <t>• Resumos Neuro / Dashboard:</t>
        </is>
      </c>
      <c r="B8" s="5" t="inlineStr">
        <is>
          <t>Modelos LLM rápidos e econômicos (GPT-4o-mini / Groq Llama 3.3).</t>
        </is>
      </c>
    </row>
    <row r="9" ht="20" customHeight="1">
      <c r="A9" s="4" t="inlineStr">
        <is>
          <t>• Servidor &amp; Infra:</t>
        </is>
      </c>
      <c r="B9" s="5" t="inlineStr">
        <is>
          <t>Docker Compose unificado (FastAPI + Streamlit + Caddy Proxy com SSL automático).</t>
        </is>
      </c>
    </row>
    <row r="10" ht="20" customHeight="1">
      <c r="A10" s="4" t="inlineStr">
        <is>
          <t>• Retenção de Áudios:</t>
        </is>
      </c>
      <c r="B10" s="5" t="inlineStr">
        <is>
          <t>7 dias de retenção automática, eliminando custos extras com cloud object storage.</t>
        </is>
      </c>
    </row>
    <row r="11"/>
    <row r="12">
      <c r="A12" s="3" t="inlineStr">
        <is>
          <t>2. Comparativo de Cenários Mensais (5.000 Áudios)</t>
        </is>
      </c>
    </row>
    <row r="13"/>
    <row r="14" ht="24" customHeight="1">
      <c r="A14" s="6" t="inlineStr">
        <is>
          <t>Cenário</t>
        </is>
      </c>
      <c r="B14" s="6" t="inlineStr">
        <is>
          <t>Descrição do Setup</t>
        </is>
      </c>
      <c r="C14" s="6" t="inlineStr">
        <is>
          <t>Custo Mensal (USD)</t>
        </is>
      </c>
      <c r="D14" s="6" t="inlineStr">
        <is>
          <t>Custo Mensal (BRL)</t>
        </is>
      </c>
      <c r="E14" s="6" t="inlineStr">
        <is>
          <t>Custo / Áudio (BRL)</t>
        </is>
      </c>
    </row>
    <row r="15" ht="22" customHeight="1">
      <c r="A15" s="7" t="inlineStr">
        <is>
          <t>Cenário Padrão</t>
        </is>
      </c>
      <c r="B15" s="7" t="inlineStr">
        <is>
          <t>OpenAI Whisper + DevAIce + Meta (1,4 áudio/conv) + VPS Hetzner</t>
        </is>
      </c>
      <c r="C15" s="8">
        <f>'Detalhamento Mensal (5k)'!E12</f>
        <v/>
      </c>
      <c r="D15" s="9">
        <f>'Detalhamento Mensal (5k)'!F12</f>
        <v/>
      </c>
      <c r="E15" s="9">
        <f>'Detalhamento Mensal (5k)'!F13</f>
        <v/>
      </c>
    </row>
    <row r="16" ht="22" customHeight="1">
      <c r="A16" s="10" t="inlineStr">
        <is>
          <t>Cenário Otimizado (Recomendado)</t>
        </is>
      </c>
      <c r="B16" s="10" t="inlineStr">
        <is>
          <t>Groq Whisper Turbo + DevAIce + Meta (2 áudios/conv) + VPS Hetzner</t>
        </is>
      </c>
      <c r="C16" s="11">
        <f>'Detalhamento Mensal (5k)'!G12</f>
        <v/>
      </c>
      <c r="D16" s="12">
        <f>'Detalhamento Mensal (5k)'!H12</f>
        <v/>
      </c>
      <c r="E16" s="12">
        <f>'Detalhamento Mensal (5k)'!H13</f>
        <v/>
      </c>
    </row>
    <row r="17" ht="22" customHeight="1">
      <c r="A17" s="7" t="inlineStr">
        <is>
          <t>Cenário Conservador (Teto)</t>
        </is>
      </c>
      <c r="B17" s="7" t="inlineStr">
        <is>
          <t>OpenAI Whisper + DevAIce ($0,015/min) + Meta (1 áudio/conv) + VPS Lightsail</t>
        </is>
      </c>
      <c r="C17" s="8">
        <f>120+150+60+4+20+1</f>
        <v/>
      </c>
      <c r="D17" s="9">
        <f>C17*'Premissas e Parâmetros'!B8</f>
        <v/>
      </c>
      <c r="E17" s="9">
        <f>D17/'Premissas e Parâmetros'!B5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65" customWidth="1" min="4" max="4"/>
  </cols>
  <sheetData>
    <row r="1">
      <c r="A1" s="1" t="inlineStr">
        <is>
          <t>ESTIMATIVA DE CUSTOS — SISTEMA NENC PROSÓDIA &amp; DASHBOARD</t>
        </is>
      </c>
    </row>
    <row r="2">
      <c r="A2" s="2" t="inlineStr">
        <is>
          <t>Parâmetros e Variáveis de Base (Atualizáveis)</t>
        </is>
      </c>
    </row>
    <row r="3"/>
    <row r="4" ht="24" customHeight="1">
      <c r="A4" s="6" t="inlineStr">
        <is>
          <t>Parâmetro</t>
        </is>
      </c>
      <c r="B4" s="6" t="inlineStr">
        <is>
          <t>Valor Base</t>
        </is>
      </c>
      <c r="C4" s="6" t="inlineStr">
        <is>
          <t>Unidade</t>
        </is>
      </c>
      <c r="D4" s="6" t="inlineStr">
        <is>
          <t>Descrição / Fonte de Referência</t>
        </is>
      </c>
    </row>
    <row r="5" ht="20" customHeight="1">
      <c r="A5" s="7" t="inlineStr">
        <is>
          <t>Volume de Áudios por Mês</t>
        </is>
      </c>
      <c r="B5" s="13" t="n">
        <v>5000</v>
      </c>
      <c r="C5" s="14" t="inlineStr">
        <is>
          <t>áudios/mês</t>
        </is>
      </c>
      <c r="D5" s="7" t="inlineStr">
        <is>
          <t>Volume estimado de áudios recebidos dos clientes</t>
        </is>
      </c>
    </row>
    <row r="6" ht="20" customHeight="1">
      <c r="A6" s="7" t="inlineStr">
        <is>
          <t>Duração Média do Áudio</t>
        </is>
      </c>
      <c r="B6" s="15" t="n">
        <v>2</v>
      </c>
      <c r="C6" s="14" t="inlineStr">
        <is>
          <t>minutos/áudio</t>
        </is>
      </c>
      <c r="D6" s="7" t="inlineStr">
        <is>
          <t>Tempo médio estimado por cada mensagem de voz</t>
        </is>
      </c>
    </row>
    <row r="7" ht="20" customHeight="1">
      <c r="A7" s="16" t="inlineStr">
        <is>
          <t>Minutos Totais de Áudio / Mês</t>
        </is>
      </c>
      <c r="B7" s="17">
        <f>B5*B6</f>
        <v/>
      </c>
      <c r="C7" s="18" t="inlineStr">
        <is>
          <t>minutos/mês</t>
        </is>
      </c>
      <c r="D7" s="19" t="inlineStr">
        <is>
          <t>Total de minutos processados por mês (= Volume * Duração)</t>
        </is>
      </c>
    </row>
    <row r="8" ht="20" customHeight="1">
      <c r="A8" s="7" t="inlineStr">
        <is>
          <t>Cotação do Dólar (USD -&gt; BRL)</t>
        </is>
      </c>
      <c r="B8" s="20" t="n">
        <v>5.5</v>
      </c>
      <c r="C8" s="14" t="inlineStr">
        <is>
          <t>R$/USD</t>
        </is>
      </c>
      <c r="D8" s="7" t="inlineStr">
        <is>
          <t>Taxa de câmbio estimada para conversão em Reais</t>
        </is>
      </c>
    </row>
    <row r="9" ht="20" customHeight="1">
      <c r="A9" s="7" t="inlineStr">
        <is>
          <t>Franquia Gratuita Meta WhatsApp</t>
        </is>
      </c>
      <c r="B9" s="13" t="n">
        <v>1000</v>
      </c>
      <c r="C9" s="14" t="inlineStr">
        <is>
          <t>conversas/mês</t>
        </is>
      </c>
      <c r="D9" s="7" t="inlineStr">
        <is>
          <t>1.000 conversas de serviço gratuitas concedidas mensalmente pela Meta</t>
        </is>
      </c>
    </row>
    <row r="10" ht="20" customHeight="1">
      <c r="A10" s="7" t="inlineStr">
        <is>
          <t>Tarifa Meta por Conversa de Serviço (BR)</t>
        </is>
      </c>
      <c r="B10" s="21" t="n">
        <v>0.03</v>
      </c>
      <c r="C10" s="14" t="inlineStr">
        <is>
          <t>USD/conversa</t>
        </is>
      </c>
      <c r="D10" s="7" t="inlineStr">
        <is>
          <t>Taxa Meta por janela de 24h iniciada pelo usuário no Brasil (~R$ 0,165)</t>
        </is>
      </c>
    </row>
    <row r="11" ht="20" customHeight="1">
      <c r="A11" s="7" t="inlineStr">
        <is>
          <t>Tarifa Whisper OpenAI (whisper-1)</t>
        </is>
      </c>
      <c r="B11" s="21" t="n">
        <v>0.006</v>
      </c>
      <c r="C11" s="14" t="inlineStr">
        <is>
          <t>USD/minuto</t>
        </is>
      </c>
      <c r="D11" s="7" t="inlineStr">
        <is>
          <t>API OpenAI Whisper oficial ($0,006 por minuto de áudio)</t>
        </is>
      </c>
    </row>
    <row r="12" ht="20" customHeight="1">
      <c r="A12" s="7" t="inlineStr">
        <is>
          <t>Tarifa Whisper Groq (whisper-large-v3-turbo)</t>
        </is>
      </c>
      <c r="B12" s="22" t="n">
        <v>0.00067</v>
      </c>
      <c r="C12" s="14" t="inlineStr">
        <is>
          <t>USD/minuto</t>
        </is>
      </c>
      <c r="D12" s="7" t="inlineStr">
        <is>
          <t>Groq Cloud Whisper Turbo (~$0,04 por hora)</t>
        </is>
      </c>
    </row>
    <row r="13" ht="20" customHeight="1">
      <c r="A13" s="7" t="inlineStr">
        <is>
          <t>Tarifa Média DevAIce API</t>
        </is>
      </c>
      <c r="B13" s="21" t="n">
        <v>0.01</v>
      </c>
      <c r="C13" s="14" t="inlineStr">
        <is>
          <t>USD/minuto</t>
        </is>
      </c>
      <c r="D13" s="7" t="inlineStr">
        <is>
          <t>Estimativa de análise acústica/prosódica DevAIce por minuto</t>
        </is>
      </c>
    </row>
    <row r="14" ht="20" customHeight="1">
      <c r="A14" s="7" t="inlineStr">
        <is>
          <t>Tarifa Média DevAIce API (Teto)</t>
        </is>
      </c>
      <c r="B14" s="21" t="n">
        <v>0.015</v>
      </c>
      <c r="C14" s="14" t="inlineStr">
        <is>
          <t>USD/minuto</t>
        </is>
      </c>
      <c r="D14" s="7" t="inlineStr">
        <is>
          <t>Cenário conservador de tarifa DevAIce por minuto</t>
        </is>
      </c>
    </row>
    <row r="15" ht="20" customHeight="1">
      <c r="A15" s="7" t="inlineStr">
        <is>
          <t>Custo LLM por Áudio (GPT-4o-mini)</t>
        </is>
      </c>
      <c r="B15" s="23" t="n">
        <v>0.0005</v>
      </c>
      <c r="C15" s="14" t="inlineStr">
        <is>
          <t>USD/áudio</t>
        </is>
      </c>
      <c r="D15" s="7" t="inlineStr">
        <is>
          <t>Geração de resumo/insights neuromarketing via GPT-4o-mini</t>
        </is>
      </c>
    </row>
    <row r="16" ht="20" customHeight="1">
      <c r="A16" s="7" t="inlineStr">
        <is>
          <t>Custo LLM por Áudio (GPT-4o padrão)</t>
        </is>
      </c>
      <c r="B16" s="23" t="n">
        <v>0.008</v>
      </c>
      <c r="C16" s="14" t="inlineStr">
        <is>
          <t>USD/áudio</t>
        </is>
      </c>
      <c r="D16" s="7" t="inlineStr">
        <is>
          <t>Geração de resumo/insights neuromarketing via GPT-4o padrão</t>
        </is>
      </c>
    </row>
    <row r="17" ht="20" customHeight="1">
      <c r="A17" s="7" t="inlineStr">
        <is>
          <t>Custo Mensal VPS Hetzner CPX31</t>
        </is>
      </c>
      <c r="B17" s="24" t="n">
        <v>12</v>
      </c>
      <c r="C17" s="14" t="inlineStr">
        <is>
          <t>USD/mês</t>
        </is>
      </c>
      <c r="D17" s="7" t="inlineStr">
        <is>
          <t>4 vCPU / 8 GB RAM / 160 GB SSD (~€11/mês)</t>
        </is>
      </c>
    </row>
    <row r="18" ht="20" customHeight="1">
      <c r="A18" s="7" t="inlineStr">
        <is>
          <t>Custo Mensal VPS AWS Lightsail</t>
        </is>
      </c>
      <c r="B18" s="24" t="n">
        <v>20</v>
      </c>
      <c r="C18" s="14" t="inlineStr">
        <is>
          <t>USD/mês</t>
        </is>
      </c>
      <c r="D18" s="7" t="inlineStr">
        <is>
          <t>2 vCPU / 4 GB RAM / 80 GB SSD</t>
        </is>
      </c>
    </row>
    <row r="19" ht="20" customHeight="1">
      <c r="A19" s="7" t="inlineStr">
        <is>
          <t>Custo Registro de Domínio</t>
        </is>
      </c>
      <c r="B19" s="24" t="n">
        <v>1</v>
      </c>
      <c r="C19" s="14" t="inlineStr">
        <is>
          <t>USD/mês</t>
        </is>
      </c>
      <c r="D19" s="7" t="inlineStr">
        <is>
          <t>Custo aproximado anual ($12/ano) dividido por 12 meses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65" customWidth="1" min="9" max="9"/>
  </cols>
  <sheetData>
    <row r="1">
      <c r="A1" s="1" t="inlineStr">
        <is>
          <t>DETALHAMENTO DE CUSTOS MENSAIS — VOLUME 5.000 ÁUDIOS (10.000 MINUTOS)</t>
        </is>
      </c>
    </row>
    <row r="2">
      <c r="A2" s="2" t="inlineStr">
        <is>
          <t>Comparação detalhada por serviço: Padrão (OpenAI Whisper) vs Otimizado (Groq Whisper)</t>
        </is>
      </c>
    </row>
    <row r="3"/>
    <row r="4" ht="26" customHeight="1">
      <c r="A4" s="6" t="inlineStr">
        <is>
          <t>Item / Serviço</t>
        </is>
      </c>
      <c r="B4" s="6" t="inlineStr">
        <is>
          <t>Provedor</t>
        </is>
      </c>
      <c r="C4" s="6" t="inlineStr">
        <is>
          <t>Base de Cálculo / Volume</t>
        </is>
      </c>
      <c r="D4" s="6" t="inlineStr">
        <is>
          <t>Preço Unitário (USD)</t>
        </is>
      </c>
      <c r="E4" s="6" t="inlineStr">
        <is>
          <t>Cenário Realista (USD)</t>
        </is>
      </c>
      <c r="F4" s="6" t="inlineStr">
        <is>
          <t>Cenário Realista (BRL)</t>
        </is>
      </c>
      <c r="G4" s="6" t="inlineStr">
        <is>
          <t>Cenário Otimizado (USD)</t>
        </is>
      </c>
      <c r="H4" s="6" t="inlineStr">
        <is>
          <t>Cenário Otimizado (BRL)</t>
        </is>
      </c>
      <c r="I4" s="6" t="inlineStr">
        <is>
          <t>Observações / Regras de Negócio</t>
        </is>
      </c>
    </row>
    <row r="5" ht="22" customHeight="1">
      <c r="A5" s="7" t="inlineStr">
        <is>
          <t>WhatsApp Cloud API (Mensageria)</t>
        </is>
      </c>
      <c r="B5" s="14" t="inlineStr">
        <is>
          <t>Meta</t>
        </is>
      </c>
      <c r="C5" s="7" t="inlineStr">
        <is>
          <t>~3.570 convs (1,4 áudios/conv) - 1.000 grátis = 2.570 pagas</t>
        </is>
      </c>
      <c r="D5" s="25">
        <f>'Premissas e Parâmetros'!B10</f>
        <v/>
      </c>
      <c r="E5" s="8">
        <f>2570*'Premissas e Parâmetros'!B10</f>
        <v/>
      </c>
      <c r="F5" s="9">
        <f>E5*'Premissas e Parâmetros'!B8</f>
        <v/>
      </c>
      <c r="G5" s="8">
        <f>1500*'Premissas e Parâmetros'!B10</f>
        <v/>
      </c>
      <c r="H5" s="9">
        <f>G5*'Premissas e Parâmetros'!B8</f>
        <v/>
      </c>
      <c r="I5" s="7" t="inlineStr">
        <is>
          <t>Usuário inicia. 1.000 conversas gratuitas/mês. Janela de 24h.</t>
        </is>
      </c>
    </row>
    <row r="6" ht="22" customHeight="1">
      <c r="A6" s="7" t="inlineStr">
        <is>
          <t>Transcrição de Áudio (STT)</t>
        </is>
      </c>
      <c r="B6" s="14" t="inlineStr">
        <is>
          <t>OpenAI (Padrão) / Groq (Otimizado)</t>
        </is>
      </c>
      <c r="C6" s="7" t="inlineStr">
        <is>
          <t>10.000 minutos de áudio / mês</t>
        </is>
      </c>
      <c r="D6" s="25">
        <f>'Premissas e Parâmetros'!B11</f>
        <v/>
      </c>
      <c r="E6" s="8">
        <f>'Premissas e Parâmetros'!B7*'Premissas e Parâmetros'!B11</f>
        <v/>
      </c>
      <c r="F6" s="9">
        <f>E6*'Premissas e Parâmetros'!B8</f>
        <v/>
      </c>
      <c r="G6" s="8">
        <f>'Premissas e Parâmetros'!B7*'Premissas e Parâmetros'!B12</f>
        <v/>
      </c>
      <c r="H6" s="9">
        <f>G6*'Premissas e Parâmetros'!B8</f>
        <v/>
      </c>
      <c r="I6" s="7" t="inlineStr">
        <is>
          <t>Padrão: OpenAI Whisper-1 ($0,006/min). Otimizado: Groq Turbo ($0,00067/min).</t>
        </is>
      </c>
    </row>
    <row r="7" ht="22" customHeight="1">
      <c r="A7" s="7" t="inlineStr">
        <is>
          <t>Análise Prosódica / Emoção</t>
        </is>
      </c>
      <c r="B7" s="14" t="inlineStr">
        <is>
          <t>DevAIce API</t>
        </is>
      </c>
      <c r="C7" s="7" t="inlineStr">
        <is>
          <t>10.000 minutos de áudio / mês</t>
        </is>
      </c>
      <c r="D7" s="25">
        <f>'Premissas e Parâmetros'!B13</f>
        <v/>
      </c>
      <c r="E7" s="8">
        <f>'Premissas e Parâmetros'!B7*'Premissas e Parâmetros'!B13</f>
        <v/>
      </c>
      <c r="F7" s="9">
        <f>E7*'Premissas e Parâmetros'!B8</f>
        <v/>
      </c>
      <c r="G7" s="8">
        <f>'Premissas e Parâmetros'!B7*'Premissas e Parâmetros'!B13</f>
        <v/>
      </c>
      <c r="H7" s="9">
        <f>G7*'Premissas e Parâmetros'!B8</f>
        <v/>
      </c>
      <c r="I7" s="7" t="inlineStr">
        <is>
          <t>Análise de tom, prosódia e acústica vocal.</t>
        </is>
      </c>
    </row>
    <row r="8" ht="22" customHeight="1">
      <c r="A8" s="7" t="inlineStr">
        <is>
          <t>Geração de Insights &amp; Resumos</t>
        </is>
      </c>
      <c r="B8" s="14" t="inlineStr">
        <is>
          <t>OpenAI / Groq (LLM)</t>
        </is>
      </c>
      <c r="C8" s="7" t="inlineStr">
        <is>
          <t>5.000 requisições (prompts de síntese)</t>
        </is>
      </c>
      <c r="D8" s="25">
        <f>'Premissas e Parâmetros'!B15</f>
        <v/>
      </c>
      <c r="E8" s="8">
        <f>'Premissas e Parâmetros'!B5*'Premissas e Parâmetros'!B15</f>
        <v/>
      </c>
      <c r="F8" s="9">
        <f>E8*'Premissas e Parâmetros'!B8</f>
        <v/>
      </c>
      <c r="G8" s="8">
        <f>'Premissas e Parâmetros'!B5*'Premissas e Parâmetros'!B15</f>
        <v/>
      </c>
      <c r="H8" s="9">
        <f>G8*'Premissas e Parâmetros'!B8</f>
        <v/>
      </c>
      <c r="I8" s="7" t="inlineStr">
        <is>
          <t>Utilizando GPT-4o-mini para sumarização de métricas e neuro-relatórios.</t>
        </is>
      </c>
    </row>
    <row r="9" ht="22" customHeight="1">
      <c r="A9" s="7" t="inlineStr">
        <is>
          <t>Hospedagem Servidor VPS</t>
        </is>
      </c>
      <c r="B9" s="14" t="inlineStr">
        <is>
          <t>Hetzner Cloud / Lightsail</t>
        </is>
      </c>
      <c r="C9" s="7" t="inlineStr">
        <is>
          <t>1 Servidor Dedicado (Docker + API + Dashboard)</t>
        </is>
      </c>
      <c r="D9" s="25">
        <f>'Premissas e Parâmetros'!B17</f>
        <v/>
      </c>
      <c r="E9" s="8">
        <f>'Premissas e Parâmetros'!B17</f>
        <v/>
      </c>
      <c r="F9" s="9">
        <f>E9*'Premissas e Parâmetros'!B8</f>
        <v/>
      </c>
      <c r="G9" s="8">
        <f>'Premissas e Parâmetros'!B17</f>
        <v/>
      </c>
      <c r="H9" s="9">
        <f>G9*'Premissas e Parâmetros'!B8</f>
        <v/>
      </c>
      <c r="I9" s="7" t="inlineStr">
        <is>
          <t>Hetzner CPX31 (4 vCPU / 8 GB RAM) ou AWS Lightsail 4GB.</t>
        </is>
      </c>
    </row>
    <row r="10" ht="22" customHeight="1">
      <c r="A10" s="7" t="inlineStr">
        <is>
          <t>Domínio, DNS &amp; SSL</t>
        </is>
      </c>
      <c r="B10" s="14" t="inlineStr">
        <is>
          <t>Registro / Caddy / Cloudflare</t>
        </is>
      </c>
      <c r="C10" s="7" t="inlineStr">
        <is>
          <t>1 Domínio + SSL automático Caddy</t>
        </is>
      </c>
      <c r="D10" s="25">
        <f>'Premissas e Parâmetros'!B19</f>
        <v/>
      </c>
      <c r="E10" s="8">
        <f>'Premissas e Parâmetros'!B19</f>
        <v/>
      </c>
      <c r="F10" s="9">
        <f>E10*'Premissas e Parâmetros'!B8</f>
        <v/>
      </c>
      <c r="G10" s="8">
        <f>'Premissas e Parâmetros'!B19</f>
        <v/>
      </c>
      <c r="H10" s="9">
        <f>G10*'Premissas e Parâmetros'!B8</f>
        <v/>
      </c>
      <c r="I10" s="7" t="inlineStr">
        <is>
          <t>SSL Let's Encrypt gratuito + Domínio (~$12/ano).</t>
        </is>
      </c>
    </row>
    <row r="11" ht="22" customHeight="1">
      <c r="A11" s="7" t="inlineStr">
        <is>
          <t>Armazenamento de Áudios (Storage)</t>
        </is>
      </c>
      <c r="B11" s="14" t="inlineStr">
        <is>
          <t>Local VPS / Retenção 7 dias</t>
        </is>
      </c>
      <c r="C11" s="7" t="inlineStr">
        <is>
          <t>~1,2 GB ativos no disco (rotação automática)</t>
        </is>
      </c>
      <c r="D11" s="25" t="n">
        <v>0</v>
      </c>
      <c r="E11" s="8" t="n">
        <v>0</v>
      </c>
      <c r="F11" s="9">
        <f>E11*'Premissas e Parâmetros'!B8</f>
        <v/>
      </c>
      <c r="G11" s="8" t="n">
        <v>0</v>
      </c>
      <c r="H11" s="9">
        <f>G11*'Premissas e Parâmetros'!B8</f>
        <v/>
      </c>
      <c r="I11" s="7" t="inlineStr">
        <is>
          <t>Política de expiração automática de 7 dias elimina necessidade de S3 pago.</t>
        </is>
      </c>
    </row>
    <row r="12" ht="26" customHeight="1">
      <c r="A12" s="26" t="inlineStr">
        <is>
          <t>CUSTO TOTAL MENSAL</t>
        </is>
      </c>
      <c r="B12" s="27" t="inlineStr"/>
      <c r="C12" s="26" t="inlineStr">
        <is>
          <t>5.000 áudios (10.000 min)</t>
        </is>
      </c>
      <c r="D12" s="27" t="inlineStr"/>
      <c r="E12" s="28">
        <f>SUM(E5:E11)</f>
        <v/>
      </c>
      <c r="F12" s="29">
        <f>SUM(F5:F11)</f>
        <v/>
      </c>
      <c r="G12" s="28">
        <f>SUM(G5:G11)</f>
        <v/>
      </c>
      <c r="H12" s="29">
        <f>SUM(H5:H11)</f>
        <v/>
      </c>
      <c r="I12" s="26" t="inlineStr">
        <is>
          <t>Economia mensal de ~R$ 440,00 no modelo otimizado!</t>
        </is>
      </c>
    </row>
    <row r="13" ht="24" customHeight="1">
      <c r="A13" s="30" t="inlineStr">
        <is>
          <t>Custo Médio por Áudio (2 min)</t>
        </is>
      </c>
      <c r="B13" s="31" t="inlineStr"/>
      <c r="C13" s="30" t="inlineStr">
        <is>
          <t>Unitário por áudio processado</t>
        </is>
      </c>
      <c r="D13" s="31" t="inlineStr"/>
      <c r="E13" s="32">
        <f>E12/'Premissas e Parâmetros'!B5</f>
        <v/>
      </c>
      <c r="F13" s="33">
        <f>F12/'Premissas e Parâmetros'!B5</f>
        <v/>
      </c>
      <c r="G13" s="32">
        <f>G12/'Premissas e Parâmetros'!B5</f>
        <v/>
      </c>
      <c r="H13" s="33">
        <f>H12/'Premissas e Parâmetros'!B5</f>
        <v/>
      </c>
      <c r="I13" s="30" t="inlineStr">
        <is>
          <t>Custo final por áudio processado ponta a ponta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20" customWidth="1" min="2" max="2"/>
    <col width="23" customWidth="1" min="3" max="3"/>
    <col width="21" customWidth="1" min="4" max="4"/>
    <col width="24" customWidth="1" min="5" max="5"/>
    <col width="22" customWidth="1" min="6" max="6"/>
    <col width="22" customWidth="1" min="7" max="7"/>
    <col width="24" customWidth="1" min="8" max="8"/>
    <col width="22" customWidth="1" min="9" max="9"/>
    <col width="22" customWidth="1" min="10" max="10"/>
    <col width="25" customWidth="1" min="11" max="11"/>
    <col width="25" customWidth="1" min="12" max="12"/>
    <col width="23" customWidth="1" min="13" max="13"/>
  </cols>
  <sheetData>
    <row r="1">
      <c r="A1" s="1" t="inlineStr">
        <is>
          <t>SIMULAÇÃO DE ESCALA DE CUSTOS (VOLUMES VARIADOS)</t>
        </is>
      </c>
    </row>
    <row r="2">
      <c r="A2" s="2" t="inlineStr">
        <is>
          <t>Projeção de custos para diferentes faixas de uso mensal (Duração média: 2 min/áudio)</t>
        </is>
      </c>
    </row>
    <row r="3"/>
    <row r="4" ht="26" customHeight="1">
      <c r="A4" s="34" t="inlineStr">
        <is>
          <t>Volume Mensal (Áudios)</t>
        </is>
      </c>
      <c r="B4" s="34" t="inlineStr">
        <is>
          <t>Minutos de Áudio</t>
        </is>
      </c>
      <c r="C4" s="34" t="inlineStr">
        <is>
          <t>Meta WhatsApp (USD)</t>
        </is>
      </c>
      <c r="D4" s="34" t="inlineStr">
        <is>
          <t>DevAIce API (USD)</t>
        </is>
      </c>
      <c r="E4" s="34" t="inlineStr">
        <is>
          <t>Whisper OpenAI (USD)</t>
        </is>
      </c>
      <c r="F4" s="34" t="inlineStr">
        <is>
          <t>Whisper Groq (USD)</t>
        </is>
      </c>
      <c r="G4" s="34" t="inlineStr">
        <is>
          <t>LLM Insights (USD)</t>
        </is>
      </c>
      <c r="H4" s="34" t="inlineStr">
        <is>
          <t>Hospedagem VPS (USD)</t>
        </is>
      </c>
      <c r="I4" s="34" t="inlineStr">
        <is>
          <t>Total Padrão (USD)</t>
        </is>
      </c>
      <c r="J4" s="34" t="inlineStr">
        <is>
          <t>Total Padrão (BRL)</t>
        </is>
      </c>
      <c r="K4" s="34" t="inlineStr">
        <is>
          <t>Total Otimizado (USD)</t>
        </is>
      </c>
      <c r="L4" s="34" t="inlineStr">
        <is>
          <t>Total Otimizado (BRL)</t>
        </is>
      </c>
      <c r="M4" s="34" t="inlineStr">
        <is>
          <t>Custo / Áudio (BRL)</t>
        </is>
      </c>
    </row>
    <row r="5" ht="22" customHeight="1">
      <c r="A5" s="35" t="n">
        <v>1000</v>
      </c>
      <c r="B5" s="36">
        <f>A5*'Premissas e Parâmetros'!B6</f>
        <v/>
      </c>
      <c r="C5" s="8">
        <f>MAX(0, (A5/1.4 - 'Premissas e Parâmetros'!B9))*'Premissas e Parâmetros'!B10</f>
        <v/>
      </c>
      <c r="D5" s="8">
        <f>B5*'Premissas e Parâmetros'!B13</f>
        <v/>
      </c>
      <c r="E5" s="8">
        <f>B5*'Premissas e Parâmetros'!B11</f>
        <v/>
      </c>
      <c r="F5" s="8">
        <f>B5*'Premissas e Parâmetros'!B12</f>
        <v/>
      </c>
      <c r="G5" s="8">
        <f>A5*'Premissas e Parâmetros'!B15</f>
        <v/>
      </c>
      <c r="H5" s="8" t="n">
        <v>12</v>
      </c>
      <c r="I5" s="8">
        <f>C5+D5+E5+G5+H5+1</f>
        <v/>
      </c>
      <c r="J5" s="9">
        <f>I5*'Premissas e Parâmetros'!B8</f>
        <v/>
      </c>
      <c r="K5" s="8">
        <f>C5+D5+F5+G5+H5+1</f>
        <v/>
      </c>
      <c r="L5" s="9">
        <f>K5*'Premissas e Parâmetros'!B8</f>
        <v/>
      </c>
      <c r="M5" s="9">
        <f>L5/A5</f>
        <v/>
      </c>
    </row>
    <row r="6" ht="22" customHeight="1">
      <c r="A6" s="35" t="n">
        <v>2500</v>
      </c>
      <c r="B6" s="36">
        <f>A6*'Premissas e Parâmetros'!B6</f>
        <v/>
      </c>
      <c r="C6" s="8">
        <f>MAX(0, (A6/1.4 - 'Premissas e Parâmetros'!B9))*'Premissas e Parâmetros'!B10</f>
        <v/>
      </c>
      <c r="D6" s="8">
        <f>B6*'Premissas e Parâmetros'!B13</f>
        <v/>
      </c>
      <c r="E6" s="8">
        <f>B6*'Premissas e Parâmetros'!B11</f>
        <v/>
      </c>
      <c r="F6" s="8">
        <f>B6*'Premissas e Parâmetros'!B12</f>
        <v/>
      </c>
      <c r="G6" s="8">
        <f>A6*'Premissas e Parâmetros'!B15</f>
        <v/>
      </c>
      <c r="H6" s="8" t="n">
        <v>12</v>
      </c>
      <c r="I6" s="8">
        <f>C6+D6+E6+G6+H6+1</f>
        <v/>
      </c>
      <c r="J6" s="9">
        <f>I6*'Premissas e Parâmetros'!B8</f>
        <v/>
      </c>
      <c r="K6" s="8">
        <f>C6+D6+F6+G6+H6+1</f>
        <v/>
      </c>
      <c r="L6" s="9">
        <f>K6*'Premissas e Parâmetros'!B8</f>
        <v/>
      </c>
      <c r="M6" s="9">
        <f>L6/A6</f>
        <v/>
      </c>
    </row>
    <row r="7" ht="22" customHeight="1">
      <c r="A7" s="37" t="n">
        <v>5000</v>
      </c>
      <c r="B7" s="38">
        <f>A7*'Premissas e Parâmetros'!B6</f>
        <v/>
      </c>
      <c r="C7" s="39">
        <f>MAX(0, (A7/1.4 - 'Premissas e Parâmetros'!B9))*'Premissas e Parâmetros'!B10</f>
        <v/>
      </c>
      <c r="D7" s="39">
        <f>B7*'Premissas e Parâmetros'!B13</f>
        <v/>
      </c>
      <c r="E7" s="39">
        <f>B7*'Premissas e Parâmetros'!B11</f>
        <v/>
      </c>
      <c r="F7" s="39">
        <f>B7*'Premissas e Parâmetros'!B12</f>
        <v/>
      </c>
      <c r="G7" s="39">
        <f>A7*'Premissas e Parâmetros'!B15</f>
        <v/>
      </c>
      <c r="H7" s="39" t="n">
        <v>12</v>
      </c>
      <c r="I7" s="39">
        <f>C7+D7+E7+G7+H7+1</f>
        <v/>
      </c>
      <c r="J7" s="33">
        <f>I7*'Premissas e Parâmetros'!B8</f>
        <v/>
      </c>
      <c r="K7" s="39">
        <f>C7+D7+F7+G7+H7+1</f>
        <v/>
      </c>
      <c r="L7" s="33">
        <f>K7*'Premissas e Parâmetros'!B8</f>
        <v/>
      </c>
      <c r="M7" s="33">
        <f>L7/A7</f>
        <v/>
      </c>
    </row>
    <row r="8" ht="22" customHeight="1">
      <c r="A8" s="35" t="n">
        <v>10000</v>
      </c>
      <c r="B8" s="36">
        <f>A8*'Premissas e Parâmetros'!B6</f>
        <v/>
      </c>
      <c r="C8" s="8">
        <f>MAX(0, (A8/1.4 - 'Premissas e Parâmetros'!B9))*'Premissas e Parâmetros'!B10</f>
        <v/>
      </c>
      <c r="D8" s="8">
        <f>B8*'Premissas e Parâmetros'!B13</f>
        <v/>
      </c>
      <c r="E8" s="8">
        <f>B8*'Premissas e Parâmetros'!B11</f>
        <v/>
      </c>
      <c r="F8" s="8">
        <f>B8*'Premissas e Parâmetros'!B12</f>
        <v/>
      </c>
      <c r="G8" s="8">
        <f>A8*'Premissas e Parâmetros'!B15</f>
        <v/>
      </c>
      <c r="H8" s="8" t="n">
        <v>24</v>
      </c>
      <c r="I8" s="8">
        <f>C8+D8+E8+G8+H8+1</f>
        <v/>
      </c>
      <c r="J8" s="9">
        <f>I8*'Premissas e Parâmetros'!B8</f>
        <v/>
      </c>
      <c r="K8" s="8">
        <f>C8+D8+F8+G8+H8+1</f>
        <v/>
      </c>
      <c r="L8" s="9">
        <f>K8*'Premissas e Parâmetros'!B8</f>
        <v/>
      </c>
      <c r="M8" s="9">
        <f>L8/A8</f>
        <v/>
      </c>
    </row>
    <row r="9" ht="22" customHeight="1">
      <c r="A9" s="35" t="n">
        <v>20000</v>
      </c>
      <c r="B9" s="36">
        <f>A9*'Premissas e Parâmetros'!B6</f>
        <v/>
      </c>
      <c r="C9" s="8">
        <f>MAX(0, (A9/1.4 - 'Premissas e Parâmetros'!B9))*'Premissas e Parâmetros'!B10</f>
        <v/>
      </c>
      <c r="D9" s="8">
        <f>B9*'Premissas e Parâmetros'!B13</f>
        <v/>
      </c>
      <c r="E9" s="8">
        <f>B9*'Premissas e Parâmetros'!B11</f>
        <v/>
      </c>
      <c r="F9" s="8">
        <f>B9*'Premissas e Parâmetros'!B12</f>
        <v/>
      </c>
      <c r="G9" s="8">
        <f>A9*'Premissas e Parâmetros'!B15</f>
        <v/>
      </c>
      <c r="H9" s="8" t="n">
        <v>24</v>
      </c>
      <c r="I9" s="8">
        <f>C9+D9+E9+G9+H9+1</f>
        <v/>
      </c>
      <c r="J9" s="9">
        <f>I9*'Premissas e Parâmetros'!B8</f>
        <v/>
      </c>
      <c r="K9" s="8">
        <f>C9+D9+F9+G9+H9+1</f>
        <v/>
      </c>
      <c r="L9" s="9">
        <f>K9*'Premissas e Parâmetros'!B8</f>
        <v/>
      </c>
      <c r="M9" s="9">
        <f>L9/A9</f>
        <v/>
      </c>
    </row>
    <row r="10" ht="22" customHeight="1">
      <c r="A10" s="35" t="n">
        <v>50000</v>
      </c>
      <c r="B10" s="36">
        <f>A10*'Premissas e Parâmetros'!B6</f>
        <v/>
      </c>
      <c r="C10" s="8">
        <f>MAX(0, (A10/1.4 - 'Premissas e Parâmetros'!B9))*'Premissas e Parâmetros'!B10</f>
        <v/>
      </c>
      <c r="D10" s="8">
        <f>B10*'Premissas e Parâmetros'!B13</f>
        <v/>
      </c>
      <c r="E10" s="8">
        <f>B10*'Premissas e Parâmetros'!B11</f>
        <v/>
      </c>
      <c r="F10" s="8">
        <f>B10*'Premissas e Parâmetros'!B12</f>
        <v/>
      </c>
      <c r="G10" s="8">
        <f>A10*'Premissas e Parâmetros'!B15</f>
        <v/>
      </c>
      <c r="H10" s="8" t="n">
        <v>48</v>
      </c>
      <c r="I10" s="8">
        <f>C10+D10+E10+G10+H10+1</f>
        <v/>
      </c>
      <c r="J10" s="9">
        <f>I10*'Premissas e Parâmetros'!B8</f>
        <v/>
      </c>
      <c r="K10" s="8">
        <f>C10+D10+F10+G10+H10+1</f>
        <v/>
      </c>
      <c r="L10" s="9">
        <f>K10*'Premissas e Parâmetros'!B8</f>
        <v/>
      </c>
      <c r="M10" s="9">
        <f>L10/A10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2026-08-11T00:09:55Z</dcterms:created>
  <dcterms:modified xmlns:dcterms="http://purl.org/dc/terms/" xmlns:xsi="http://www.w3.org/2001/XMLSchema-instance" xsi:type="dcterms:W3CDTF">2026-08-11T00:09:55Z</dcterms:modified>
</cp:coreProperties>
</file>